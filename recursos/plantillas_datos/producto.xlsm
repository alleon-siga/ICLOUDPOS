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0" yWindow="0" windowWidth="15570" windowHeight="7545" tabRatio="0"/>
  </bookViews>
  <sheets>
    <sheet name="PRODUCTOS" sheetId="1" r:id="rId1"/>
  </sheets>
  <definedNames>
    <definedName name="_xlnm._FilterDatabase" localSheetId="0" hidden="1">PRODUCTOS!$B$25:$AG$26</definedName>
  </definedNames>
  <calcPr calcId="144525"/>
  <customWorkbookViews>
    <customWorkbookView name="ISABEL - Vista personalizada" guid="{7FB2F641-C66C-4177-A25D-47B602030B8E}" mergeInterval="0" personalView="1" maximized="1" xWindow="-8" yWindow="-8" windowWidth="1382" windowHeight="744" tabRatio="0" activeSheetId="1" showFormulaBar="0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6" i="1" l="1"/>
  <c r="BF13" i="1" s="1"/>
  <c r="C19" i="1" s="1"/>
</calcChain>
</file>

<file path=xl/sharedStrings.xml><?xml version="1.0" encoding="utf-8"?>
<sst xmlns="http://schemas.openxmlformats.org/spreadsheetml/2006/main" count="93" uniqueCount="60">
  <si>
    <t>DESCRIPCION DE PRODUCTO</t>
  </si>
  <si>
    <t>MARCA</t>
  </si>
  <si>
    <t>CODIGO INTERNO</t>
  </si>
  <si>
    <t>CODIGO DE BARRA</t>
  </si>
  <si>
    <t>NOMBRE DE PRODUCTO</t>
  </si>
  <si>
    <t>GRUPO</t>
  </si>
  <si>
    <t xml:space="preserve">FAMILIA </t>
  </si>
  <si>
    <t>LINEA</t>
  </si>
  <si>
    <t>STOCK MINIMO</t>
  </si>
  <si>
    <t>AFECTACION IMPUESTO</t>
  </si>
  <si>
    <t>PROVEEDOR</t>
  </si>
  <si>
    <t>CAMPO</t>
  </si>
  <si>
    <t>DESCRIPCION</t>
  </si>
  <si>
    <t>Descripción de la marca</t>
  </si>
  <si>
    <t>Descripción de la familia</t>
  </si>
  <si>
    <t>MODELO</t>
  </si>
  <si>
    <t>ESTADO</t>
  </si>
  <si>
    <t>SI</t>
  </si>
  <si>
    <t>NO</t>
  </si>
  <si>
    <t>ACTIVO</t>
  </si>
  <si>
    <t>INACTIVO</t>
  </si>
  <si>
    <t>COSTO UNIT (Soles)</t>
  </si>
  <si>
    <t>COSTO UNIT (Dólares)</t>
  </si>
  <si>
    <t>EMBALAJE</t>
  </si>
  <si>
    <t>PRECIO (Soles)</t>
  </si>
  <si>
    <t>PRECIO (Dólares)</t>
  </si>
  <si>
    <t>STOCK ACTUAL</t>
  </si>
  <si>
    <t>PRESENTACION Y PRECIOS (1)</t>
  </si>
  <si>
    <t>PRESENTACION Y PRECIOS (2)</t>
  </si>
  <si>
    <t>PRESENTACION Y PRECIOS (3)</t>
  </si>
  <si>
    <t>PRESENTACION Y PRECIOS (4)</t>
  </si>
  <si>
    <t># PRODUCTOS REGISTRADOS</t>
  </si>
  <si>
    <t>PRESENTACION Y PRECIOS (1) PRESENTACION Y PRECIOS (2) PRESENTACION Y PRECIOS (3) PRESENTACION Y PRECIOS (4)</t>
  </si>
  <si>
    <t>Código que manejas internamente</t>
  </si>
  <si>
    <t>Código de producto (generalmente de 13 dígitos)</t>
  </si>
  <si>
    <t>Nombre comercial del producto</t>
  </si>
  <si>
    <t xml:space="preserve">Descripción del tipo de modelo del producto </t>
  </si>
  <si>
    <t>Descripción del grupo</t>
  </si>
  <si>
    <t>Descripción de linea</t>
  </si>
  <si>
    <t>Tienes dos posibilidades "SI" (pagas impuesto) "NO" (no está afecto a impuestos)</t>
  </si>
  <si>
    <t>Tienes dos posibilidades "ACTIVO" (producto que vendes) "INACTIVO" (producto que dejaste de vender)</t>
  </si>
  <si>
    <t>Stock actual que manejas en tus almacenes</t>
  </si>
  <si>
    <t>Costo unitario de producto en soles</t>
  </si>
  <si>
    <t>Si compras productos en dólares, colocar aquí los precios</t>
  </si>
  <si>
    <t>PRESENTACION (UM)</t>
  </si>
  <si>
    <t>Coloca la medida del producto (Unidad, Caja, Docena, Bolsa, Paquete, etc.)</t>
  </si>
  <si>
    <t>Empresa a quien compra sus productos</t>
  </si>
  <si>
    <t xml:space="preserve">Características adicionales de producto </t>
  </si>
  <si>
    <t>Cantidad de stock con límite de quiebre, para que el sistema avise que tiene que comprar, siempre que llegue al mínimo de stock</t>
  </si>
  <si>
    <t>El embalaje depende de la presentación. Ejm Si colocas Unidad, el embalaje será 1</t>
  </si>
  <si>
    <t>Precio que venderás en soles según el tipo de presentación. Ejm. Precio de la caja o unidad</t>
  </si>
  <si>
    <t>Si vendes en dólares, coloca aquí el precio. Ejm, Precio en dólares por caja o unidad</t>
  </si>
  <si>
    <t>IMPORTADO</t>
  </si>
  <si>
    <t>DIAMANTINA</t>
  </si>
  <si>
    <t>KG</t>
  </si>
  <si>
    <t>CAJA</t>
  </si>
  <si>
    <t>Activo</t>
  </si>
  <si>
    <t>NAVIDAD</t>
  </si>
  <si>
    <t>PLATA 625</t>
  </si>
  <si>
    <t>DLS-01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</si>
</sst>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[$S/-280A]* #,##0.00_-;\-[$S/-280A]* #,##0.00_-;_-[$S/-280A]* &quot;-&quot;??_-;_-@_-"/>
    <numFmt numFmtId="165" formatCode="_-[$$-540A]* #,##0.00_ ;_-[$$-540A]* \-#,##0.00\ ;_-[$$-540A]* &quot;-&quot;??_ ;_-@_ "/>
  </numFmts>
  <fonts count="7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20"/>
      <color theme="0"/>
      <name val="Arial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790CF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0" fillId="2" borderId="1" xfId="0" applyFill="1" applyBorder="1"/>
    <xf numFmtId="1" fontId="0" fillId="2" borderId="1" xfId="0" applyNumberFormat="1" applyFill="1" applyBorder="1"/>
    <xf numFmtId="0" fontId="2" fillId="3" borderId="1" xfId="0" applyFont="1" applyFill="1" applyBorder="1" applyAlignment="1">
      <alignment horizontal="center" vertical="center"/>
    </xf>
    <xf numFmtId="0" fontId="4" fillId="2" borderId="0" xfId="0" applyFont="1" applyFill="1"/>
    <xf numFmtId="0" fontId="3" fillId="2" borderId="0" xfId="0" applyFont="1" applyFill="1"/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164" fontId="0" fillId="2" borderId="1" xfId="0" applyNumberFormat="1" applyFill="1" applyBorder="1"/>
    <xf numFmtId="2" fontId="0" fillId="2" borderId="0" xfId="0" applyNumberFormat="1" applyFill="1"/>
    <xf numFmtId="2" fontId="0" fillId="2" borderId="1" xfId="0" applyNumberFormat="1" applyFill="1" applyBorder="1"/>
    <xf numFmtId="0" fontId="1" fillId="3" borderId="1" xfId="0" applyFont="1" applyFill="1" applyBorder="1" applyAlignment="1">
      <alignment horizontal="center" vertical="center" wrapText="1"/>
    </xf>
    <xf numFmtId="0" fontId="0" fillId="0" borderId="1" xfId="0" applyBorder="1"/>
    <xf numFmtId="165" fontId="0" fillId="2" borderId="1" xfId="0" applyNumberFormat="1" applyFill="1" applyBorder="1"/>
    <xf numFmtId="0" fontId="1" fillId="3" borderId="5" xfId="0" applyFont="1" applyFill="1" applyBorder="1" applyAlignment="1">
      <alignment horizontal="center" vertical="center" wrapText="1"/>
    </xf>
    <xf numFmtId="165" fontId="0" fillId="2" borderId="6" xfId="0" applyNumberFormat="1" applyFill="1" applyBorder="1"/>
    <xf numFmtId="0" fontId="1" fillId="3" borderId="1" xfId="0" applyFon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2" borderId="1" xfId="0" applyFill="1" applyBorder="1" applyAlignment="1"/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J26"/>
  <sheetViews>
    <sheetView tabSelected="1" topLeftCell="A25" zoomScale="92" zoomScaleNormal="92" workbookViewId="0">
      <pane ySplit="1" topLeftCell="A26" activePane="bottomLeft" state="frozen"/>
      <selection activeCell="B25" sqref="B25"/>
      <selection pane="bottomLeft" activeCell="B26" sqref="B26"/>
    </sheetView>
  </sheetViews>
  <sheetFormatPr baseColWidth="10" defaultColWidth="11.42578125" defaultRowHeight="15" x14ac:dyDescent="0.25"/>
  <cols>
    <col min="1" max="1" width="1.85546875" style="1" customWidth="1"/>
    <col min="2" max="2" width="21.42578125" style="1" customWidth="1"/>
    <col min="3" max="3" width="17.28515625" style="1" bestFit="1" customWidth="1"/>
    <col min="4" max="4" width="18.5703125" style="1" customWidth="1"/>
    <col min="5" max="5" width="47.7109375" style="1" bestFit="1" customWidth="1"/>
    <col min="6" max="6" width="32.7109375" style="1" customWidth="1"/>
    <col min="7" max="7" width="17.7109375" style="1" customWidth="1"/>
    <col min="8" max="9" width="18" style="1" customWidth="1"/>
    <col min="10" max="10" width="14.140625" style="10" customWidth="1"/>
    <col min="11" max="11" width="37.85546875" style="1" customWidth="1"/>
    <col min="12" max="12" width="25.42578125" style="1" customWidth="1"/>
    <col min="13" max="13" width="17.140625" style="1" customWidth="1"/>
    <col min="14" max="14" width="16.28515625" style="1" customWidth="1"/>
    <col min="15" max="15" width="15.42578125" style="1" customWidth="1"/>
    <col min="16" max="16" width="12.42578125" style="1" customWidth="1"/>
    <col min="17" max="17" width="12.7109375" style="1" customWidth="1"/>
    <col min="18" max="18" width="15.7109375" style="1" customWidth="1"/>
    <col min="19" max="19" width="16" style="1" bestFit="1" customWidth="1"/>
    <col min="20" max="20" width="12.85546875" style="1" customWidth="1"/>
    <col min="21" max="21" width="13.28515625" style="1" customWidth="1"/>
    <col min="22" max="22" width="15.7109375" style="1" customWidth="1"/>
    <col min="23" max="23" width="16" style="1" bestFit="1" customWidth="1"/>
    <col min="24" max="24" width="11.42578125" style="1"/>
    <col min="25" max="25" width="11.42578125" style="1" customWidth="1"/>
    <col min="26" max="26" width="15.7109375" style="1" customWidth="1"/>
    <col min="27" max="27" width="16" style="1" bestFit="1" customWidth="1"/>
    <col min="28" max="28" width="11.42578125" style="1"/>
    <col min="29" max="29" width="11.42578125" style="1" customWidth="1"/>
    <col min="30" max="30" width="15.7109375" style="1" customWidth="1"/>
    <col min="31" max="31" width="16" style="1" bestFit="1" customWidth="1"/>
    <col min="32" max="32" width="11.42578125" style="1"/>
    <col min="33" max="33" width="11.42578125" style="1" customWidth="1"/>
    <col min="34" max="16384" width="11.42578125" style="1"/>
  </cols>
  <sheetData>
    <row r="1" spans="6:62" ht="9" customHeight="1" x14ac:dyDescent="0.25"/>
    <row r="2" spans="6:62" ht="21.75" customHeight="1" x14ac:dyDescent="0.25">
      <c r="F2" s="4" t="s">
        <v>11</v>
      </c>
      <c r="G2" s="19" t="s">
        <v>12</v>
      </c>
      <c r="H2" s="19"/>
      <c r="I2" s="19"/>
      <c r="J2" s="19"/>
      <c r="K2" s="19"/>
      <c r="L2" s="19"/>
    </row>
    <row r="3" spans="6:62" x14ac:dyDescent="0.25">
      <c r="F3" s="7" t="s">
        <v>10</v>
      </c>
      <c r="G3" s="20" t="s">
        <v>46</v>
      </c>
      <c r="H3" s="20"/>
      <c r="I3" s="20"/>
      <c r="J3" s="20"/>
      <c r="K3" s="20"/>
      <c r="L3" s="20"/>
    </row>
    <row r="4" spans="6:62" x14ac:dyDescent="0.25">
      <c r="F4" s="7" t="s">
        <v>2</v>
      </c>
      <c r="G4" s="20" t="s">
        <v>33</v>
      </c>
      <c r="H4" s="20"/>
      <c r="I4" s="20"/>
      <c r="J4" s="20"/>
      <c r="K4" s="20"/>
      <c r="L4" s="20"/>
    </row>
    <row r="5" spans="6:62" x14ac:dyDescent="0.25">
      <c r="F5" s="7" t="s">
        <v>3</v>
      </c>
      <c r="G5" s="20" t="s">
        <v>34</v>
      </c>
      <c r="H5" s="20"/>
      <c r="I5" s="20"/>
      <c r="J5" s="20"/>
      <c r="K5" s="20"/>
      <c r="L5" s="20"/>
    </row>
    <row r="6" spans="6:62" x14ac:dyDescent="0.25">
      <c r="F6" s="7" t="s">
        <v>4</v>
      </c>
      <c r="G6" s="20" t="s">
        <v>35</v>
      </c>
      <c r="H6" s="20"/>
      <c r="I6" s="20"/>
      <c r="J6" s="20"/>
      <c r="K6" s="20"/>
      <c r="L6" s="20"/>
    </row>
    <row r="7" spans="6:62" x14ac:dyDescent="0.25">
      <c r="F7" s="7" t="s">
        <v>0</v>
      </c>
      <c r="G7" s="20" t="s">
        <v>47</v>
      </c>
      <c r="H7" s="20"/>
      <c r="I7" s="20"/>
      <c r="J7" s="20"/>
      <c r="K7" s="20"/>
      <c r="L7" s="20"/>
    </row>
    <row r="8" spans="6:62" x14ac:dyDescent="0.25">
      <c r="F8" s="7" t="s">
        <v>1</v>
      </c>
      <c r="G8" s="20" t="s">
        <v>13</v>
      </c>
      <c r="H8" s="20"/>
      <c r="I8" s="20"/>
      <c r="J8" s="20"/>
      <c r="K8" s="20"/>
      <c r="L8" s="20"/>
    </row>
    <row r="9" spans="6:62" x14ac:dyDescent="0.25">
      <c r="F9" s="7" t="s">
        <v>5</v>
      </c>
      <c r="G9" s="20" t="s">
        <v>37</v>
      </c>
      <c r="H9" s="20"/>
      <c r="I9" s="20"/>
      <c r="J9" s="20"/>
      <c r="K9" s="20"/>
      <c r="L9" s="20"/>
      <c r="M9" s="5"/>
      <c r="N9" s="5"/>
      <c r="O9" s="5"/>
      <c r="P9" s="5"/>
    </row>
    <row r="10" spans="6:62" x14ac:dyDescent="0.25">
      <c r="F10" s="7" t="s">
        <v>6</v>
      </c>
      <c r="G10" s="20" t="s">
        <v>14</v>
      </c>
      <c r="H10" s="20"/>
      <c r="I10" s="20"/>
      <c r="J10" s="20"/>
      <c r="K10" s="20"/>
      <c r="L10" s="20"/>
      <c r="M10" s="5"/>
      <c r="N10" s="5"/>
      <c r="O10" s="5"/>
      <c r="P10" s="5"/>
    </row>
    <row r="11" spans="6:62" x14ac:dyDescent="0.25">
      <c r="F11" s="7" t="s">
        <v>7</v>
      </c>
      <c r="G11" s="20" t="s">
        <v>38</v>
      </c>
      <c r="H11" s="20"/>
      <c r="I11" s="20"/>
      <c r="J11" s="20"/>
      <c r="K11" s="20"/>
      <c r="L11" s="20"/>
      <c r="M11" s="5"/>
      <c r="N11" s="5"/>
      <c r="O11" s="5"/>
      <c r="P11" s="5"/>
    </row>
    <row r="12" spans="6:62" x14ac:dyDescent="0.25">
      <c r="F12" s="7" t="s">
        <v>15</v>
      </c>
      <c r="G12" s="20" t="s">
        <v>36</v>
      </c>
      <c r="H12" s="20"/>
      <c r="I12" s="20"/>
      <c r="J12" s="20"/>
      <c r="K12" s="20"/>
      <c r="L12" s="20"/>
      <c r="M12" s="5"/>
      <c r="N12" s="5"/>
      <c r="O12" s="5"/>
      <c r="P12" s="5"/>
      <c r="BF12" s="6">
        <v>2000</v>
      </c>
      <c r="BG12" s="6"/>
      <c r="BH12" s="6" t="s">
        <v>17</v>
      </c>
      <c r="BI12" s="6" t="s">
        <v>19</v>
      </c>
      <c r="BJ12" s="6"/>
    </row>
    <row r="13" spans="6:62" x14ac:dyDescent="0.25">
      <c r="F13" s="7" t="s">
        <v>9</v>
      </c>
      <c r="G13" s="20" t="s">
        <v>39</v>
      </c>
      <c r="H13" s="20"/>
      <c r="I13" s="20"/>
      <c r="J13" s="20"/>
      <c r="K13" s="20"/>
      <c r="L13" s="20"/>
      <c r="M13" s="5"/>
      <c r="N13" s="5"/>
      <c r="O13" s="5"/>
      <c r="P13" s="5"/>
      <c r="BF13" s="6">
        <f>COUNTBLANK(A26:A26)</f>
        <v>1</v>
      </c>
      <c r="BG13" s="6"/>
      <c r="BH13" s="6" t="s">
        <v>18</v>
      </c>
      <c r="BI13" s="6" t="s">
        <v>20</v>
      </c>
      <c r="BJ13" s="6"/>
    </row>
    <row r="14" spans="6:62" x14ac:dyDescent="0.25">
      <c r="F14" s="7" t="s">
        <v>16</v>
      </c>
      <c r="G14" s="20" t="s">
        <v>40</v>
      </c>
      <c r="H14" s="20"/>
      <c r="I14" s="20"/>
      <c r="J14" s="20"/>
      <c r="K14" s="20"/>
      <c r="L14" s="20"/>
      <c r="M14" s="5"/>
      <c r="P14" s="5"/>
    </row>
    <row r="15" spans="6:62" x14ac:dyDescent="0.25">
      <c r="F15" s="7" t="s">
        <v>8</v>
      </c>
      <c r="G15" s="20" t="s">
        <v>48</v>
      </c>
      <c r="H15" s="20"/>
      <c r="I15" s="20"/>
      <c r="J15" s="20"/>
      <c r="K15" s="20"/>
      <c r="L15" s="20"/>
      <c r="M15" s="5"/>
      <c r="P15" s="5"/>
    </row>
    <row r="16" spans="6:62" x14ac:dyDescent="0.25">
      <c r="F16" s="7" t="s">
        <v>26</v>
      </c>
      <c r="G16" s="20" t="s">
        <v>41</v>
      </c>
      <c r="H16" s="20"/>
      <c r="I16" s="20"/>
      <c r="J16" s="20"/>
      <c r="K16" s="20"/>
      <c r="L16" s="20"/>
      <c r="M16" s="5"/>
      <c r="N16" s="5"/>
      <c r="O16" s="5"/>
      <c r="P16" s="5"/>
    </row>
    <row r="17" spans="1:33" x14ac:dyDescent="0.25">
      <c r="F17" s="8" t="s">
        <v>21</v>
      </c>
      <c r="G17" s="20" t="s">
        <v>42</v>
      </c>
      <c r="H17" s="20"/>
      <c r="I17" s="20"/>
      <c r="J17" s="20"/>
      <c r="K17" s="20"/>
      <c r="L17" s="20"/>
      <c r="M17" s="5"/>
      <c r="N17" s="5"/>
      <c r="O17" s="5"/>
      <c r="P17" s="5"/>
    </row>
    <row r="18" spans="1:33" x14ac:dyDescent="0.25">
      <c r="F18" s="8" t="s">
        <v>22</v>
      </c>
      <c r="G18" s="20" t="s">
        <v>43</v>
      </c>
      <c r="H18" s="20"/>
      <c r="I18" s="20"/>
      <c r="J18" s="20"/>
      <c r="K18" s="20"/>
      <c r="L18" s="20"/>
      <c r="M18" s="5"/>
      <c r="N18" s="5"/>
      <c r="O18" s="5"/>
      <c r="P18" s="5"/>
    </row>
    <row r="19" spans="1:33" x14ac:dyDescent="0.25">
      <c r="B19" s="25" t="s">
        <v>31</v>
      </c>
      <c r="C19" s="26">
        <f>BF12-BF13</f>
        <v>1999</v>
      </c>
      <c r="E19" s="24" t="s">
        <v>32</v>
      </c>
      <c r="F19" s="8" t="s">
        <v>44</v>
      </c>
      <c r="G19" s="20" t="s">
        <v>45</v>
      </c>
      <c r="H19" s="20"/>
      <c r="I19" s="20"/>
      <c r="J19" s="20"/>
      <c r="K19" s="20"/>
      <c r="L19" s="20"/>
    </row>
    <row r="20" spans="1:33" x14ac:dyDescent="0.25">
      <c r="B20" s="25"/>
      <c r="C20" s="26"/>
      <c r="E20" s="24"/>
      <c r="F20" s="8" t="s">
        <v>23</v>
      </c>
      <c r="G20" s="20" t="s">
        <v>49</v>
      </c>
      <c r="H20" s="20"/>
      <c r="I20" s="20"/>
      <c r="J20" s="20"/>
      <c r="K20" s="20"/>
      <c r="L20" s="20"/>
    </row>
    <row r="21" spans="1:33" x14ac:dyDescent="0.25">
      <c r="B21" s="25"/>
      <c r="C21" s="26"/>
      <c r="E21" s="24"/>
      <c r="F21" s="8" t="s">
        <v>24</v>
      </c>
      <c r="G21" s="20" t="s">
        <v>50</v>
      </c>
      <c r="H21" s="20"/>
      <c r="I21" s="20"/>
      <c r="J21" s="20"/>
      <c r="K21" s="20"/>
      <c r="L21" s="20"/>
    </row>
    <row r="22" spans="1:33" x14ac:dyDescent="0.25">
      <c r="B22" s="25"/>
      <c r="C22" s="26"/>
      <c r="E22" s="24"/>
      <c r="F22" s="8" t="s">
        <v>25</v>
      </c>
      <c r="G22" s="20" t="s">
        <v>51</v>
      </c>
      <c r="H22" s="20"/>
      <c r="I22" s="20"/>
      <c r="J22" s="20"/>
      <c r="K22" s="20"/>
      <c r="L22" s="20"/>
    </row>
    <row r="23" spans="1:33" ht="15.75" thickBot="1" x14ac:dyDescent="0.3"/>
    <row r="24" spans="1:33" ht="22.5" customHeight="1" thickBot="1" x14ac:dyDescent="0.3">
      <c r="R24" s="21" t="s">
        <v>27</v>
      </c>
      <c r="S24" s="22"/>
      <c r="T24" s="22"/>
      <c r="U24" s="23"/>
      <c r="V24" s="21" t="s">
        <v>28</v>
      </c>
      <c r="W24" s="22"/>
      <c r="X24" s="22"/>
      <c r="Y24" s="23"/>
      <c r="Z24" s="21" t="s">
        <v>29</v>
      </c>
      <c r="AA24" s="22"/>
      <c r="AB24" s="22"/>
      <c r="AC24" s="23"/>
      <c r="AD24" s="21" t="s">
        <v>30</v>
      </c>
      <c r="AE24" s="22"/>
      <c r="AF24" s="22"/>
      <c r="AG24" s="23"/>
    </row>
    <row r="25" spans="1:33" ht="30.75" customHeight="1" thickBot="1" x14ac:dyDescent="0.3">
      <c r="B25" s="17" t="s">
        <v>10</v>
      </c>
      <c r="C25" s="17" t="s">
        <v>2</v>
      </c>
      <c r="D25" s="17" t="s">
        <v>3</v>
      </c>
      <c r="E25" s="17" t="s">
        <v>4</v>
      </c>
      <c r="F25" s="17" t="s">
        <v>0</v>
      </c>
      <c r="G25" s="17" t="s">
        <v>1</v>
      </c>
      <c r="H25" s="17" t="s">
        <v>5</v>
      </c>
      <c r="I25" s="17" t="s">
        <v>6</v>
      </c>
      <c r="J25" s="18" t="s">
        <v>7</v>
      </c>
      <c r="K25" s="17" t="s">
        <v>15</v>
      </c>
      <c r="L25" s="17" t="s">
        <v>9</v>
      </c>
      <c r="M25" s="17" t="s">
        <v>16</v>
      </c>
      <c r="N25" s="17" t="s">
        <v>8</v>
      </c>
      <c r="O25" s="17" t="s">
        <v>26</v>
      </c>
      <c r="P25" s="12" t="s">
        <v>21</v>
      </c>
      <c r="Q25" s="12" t="s">
        <v>22</v>
      </c>
      <c r="R25" s="12" t="s">
        <v>44</v>
      </c>
      <c r="S25" s="12" t="s">
        <v>23</v>
      </c>
      <c r="T25" s="12" t="s">
        <v>24</v>
      </c>
      <c r="U25" s="12" t="s">
        <v>25</v>
      </c>
      <c r="V25" s="12" t="s">
        <v>44</v>
      </c>
      <c r="W25" s="12" t="s">
        <v>23</v>
      </c>
      <c r="X25" s="12" t="s">
        <v>24</v>
      </c>
      <c r="Y25" s="12" t="s">
        <v>25</v>
      </c>
      <c r="Z25" s="12" t="s">
        <v>44</v>
      </c>
      <c r="AA25" s="12" t="s">
        <v>23</v>
      </c>
      <c r="AB25" s="12" t="s">
        <v>24</v>
      </c>
      <c r="AC25" s="12" t="s">
        <v>25</v>
      </c>
      <c r="AD25" s="12" t="s">
        <v>44</v>
      </c>
      <c r="AE25" s="12" t="s">
        <v>23</v>
      </c>
      <c r="AF25" s="12" t="s">
        <v>24</v>
      </c>
      <c r="AG25" s="15" t="s">
        <v>25</v>
      </c>
    </row>
    <row r="26" spans="1:33" x14ac:dyDescent="0.25">
      <c r="A26" s="5" t="str">
        <f>IFERROR(CONCATENATE(B26,C26,D26,E26,F26,G26,I26,#REF!,J26,K26,L26,M26,N26,O26,),"")</f>
        <v/>
      </c>
      <c r="B26" s="2"/>
      <c r="C26" s="2" t="s">
        <v>59</v>
      </c>
      <c r="D26" s="2"/>
      <c r="E26" s="13"/>
      <c r="F26" s="2"/>
      <c r="G26" s="2" t="s">
        <v>52</v>
      </c>
      <c r="H26" s="2" t="s">
        <v>53</v>
      </c>
      <c r="I26" s="13" t="s">
        <v>57</v>
      </c>
      <c r="J26" s="11">
        <v>1.64</v>
      </c>
      <c r="K26" s="3" t="s">
        <v>58</v>
      </c>
      <c r="L26" s="2" t="s">
        <v>17</v>
      </c>
      <c r="M26" s="13" t="s">
        <v>56</v>
      </c>
      <c r="N26" s="2">
        <v>5</v>
      </c>
      <c r="O26" s="2">
        <v>0</v>
      </c>
      <c r="P26" s="9">
        <v>0</v>
      </c>
      <c r="Q26" s="14">
        <v>0</v>
      </c>
      <c r="R26" s="2" t="s">
        <v>54</v>
      </c>
      <c r="S26" s="2">
        <v>1</v>
      </c>
      <c r="T26" s="9">
        <v>35</v>
      </c>
      <c r="U26" s="14">
        <v>0</v>
      </c>
      <c r="V26" s="2" t="s">
        <v>55</v>
      </c>
      <c r="W26" s="2">
        <v>25</v>
      </c>
      <c r="X26" s="9">
        <v>0</v>
      </c>
      <c r="Y26" s="14">
        <v>0</v>
      </c>
      <c r="Z26" s="2"/>
      <c r="AA26" s="2"/>
      <c r="AB26" s="9"/>
      <c r="AC26" s="14"/>
      <c r="AD26" s="2"/>
      <c r="AE26" s="2"/>
      <c r="AF26" s="9"/>
      <c r="AG26" s="16"/>
    </row>
  </sheetData>
  <autoFilter ref="B25:AG26"/>
  <customSheetViews>
    <customSheetView guid="{7FB2F641-C66C-4177-A25D-47B602030B8E}" scale="90" showRowCol="0">
      <selection activeCell="E16" sqref="E16"/>
      <pageMargins left="0.7" right="0.7" top="0.75" bottom="0.75" header="0.3" footer="0.3"/>
      <pageSetup orientation="portrait" horizontalDpi="360" verticalDpi="360" r:id="rId1"/>
    </customSheetView>
  </customSheetViews>
  <mergeCells count="28">
    <mergeCell ref="B19:B22"/>
    <mergeCell ref="C19:C22"/>
    <mergeCell ref="R24:U24"/>
    <mergeCell ref="V24:Y24"/>
    <mergeCell ref="Z24:AC24"/>
    <mergeCell ref="AD24:AG24"/>
    <mergeCell ref="E19:E22"/>
    <mergeCell ref="G20:L20"/>
    <mergeCell ref="G21:L21"/>
    <mergeCell ref="G22:L22"/>
    <mergeCell ref="G18:L18"/>
    <mergeCell ref="G19:L19"/>
    <mergeCell ref="G16:L16"/>
    <mergeCell ref="G17:L17"/>
    <mergeCell ref="G3:L3"/>
    <mergeCell ref="G14:L14"/>
    <mergeCell ref="G15:L15"/>
    <mergeCell ref="G2:L2"/>
    <mergeCell ref="G10:L10"/>
    <mergeCell ref="G11:L11"/>
    <mergeCell ref="G12:L12"/>
    <mergeCell ref="G13:L13"/>
    <mergeCell ref="G4:L4"/>
    <mergeCell ref="G5:L5"/>
    <mergeCell ref="G6:L6"/>
    <mergeCell ref="G7:L7"/>
    <mergeCell ref="G8:L8"/>
    <mergeCell ref="G9:L9"/>
  </mergeCells>
  <dataValidations count="2">
    <dataValidation type="list" allowBlank="1" showInputMessage="1" showErrorMessage="1" sqref="M26:M1045531">
      <formula1>$BI$12:$BI$13</formula1>
    </dataValidation>
    <dataValidation type="list" allowBlank="1" showInputMessage="1" showErrorMessage="1" sqref="L26:L1045531">
      <formula1>$BH$12:$BH$13</formula1>
    </dataValidation>
  </dataValidations>
  <pageMargins left="0.7" right="0.7" top="0.75" bottom="0.75" header="0.3" footer="0.3"/>
  <pageSetup orientation="portrait" horizontalDpi="360" verticalDpi="36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PRODUCTOS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ISABEL</dc:creator>
  <cp:lastModifiedBy>Usuario de Windows</cp:lastModifiedBy>
  <dcterms:created xsi:type="dcterms:W3CDTF">2018-09-07T21:09:27Z</dcterms:created>
  <dcterms:modified xsi:type="dcterms:W3CDTF">2018-09-18T16:19:34Z</dcterms:modified>
</cp:coreProperties>
</file>